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574377\Documents\Incidence-Peru\Data\"/>
    </mc:Choice>
  </mc:AlternateContent>
  <xr:revisionPtr revIDLastSave="0" documentId="13_ncr:1_{9B4389FF-1BCC-447F-8396-59866DBA474E}" xr6:coauthVersionLast="47" xr6:coauthVersionMax="47" xr10:uidLastSave="{00000000-0000-0000-0000-000000000000}"/>
  <bookViews>
    <workbookView xWindow="-110" yWindow="-110" windowWidth="19420" windowHeight="10300" xr2:uid="{EDE5E91D-EFAD-4165-99D5-17E4554E25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J3" i="1"/>
  <c r="J2" i="1"/>
  <c r="J1" i="1"/>
  <c r="F10" i="1"/>
  <c r="F9" i="1"/>
  <c r="F8" i="1"/>
  <c r="F7" i="1"/>
  <c r="F6" i="1"/>
  <c r="F5" i="1"/>
  <c r="F4" i="1"/>
  <c r="F3" i="1"/>
  <c r="F2" i="1"/>
  <c r="H10" i="1"/>
  <c r="H9" i="1"/>
  <c r="H8" i="1"/>
  <c r="H7" i="1"/>
  <c r="H6" i="1"/>
  <c r="H5" i="1"/>
  <c r="H4" i="1"/>
  <c r="H3" i="1"/>
  <c r="H2" i="1"/>
  <c r="H1" i="1"/>
  <c r="I1" i="1"/>
  <c r="G1" i="1"/>
  <c r="E1" i="1"/>
</calcChain>
</file>

<file path=xl/sharedStrings.xml><?xml version="1.0" encoding="utf-8"?>
<sst xmlns="http://schemas.openxmlformats.org/spreadsheetml/2006/main" count="32" uniqueCount="31">
  <si>
    <t>Survey year</t>
  </si>
  <si>
    <t>Total (n=294,549)</t>
  </si>
  <si>
    <t>Diabetes (n=9,002)</t>
  </si>
  <si>
    <t>No diabetes (285,547)</t>
  </si>
  <si>
    <t>%</t>
  </si>
  <si>
    <t>33042 (11.2%)</t>
  </si>
  <si>
    <t>34263 (11.6%)</t>
  </si>
  <si>
    <t>33364 (11.3%)</t>
  </si>
  <si>
    <t>32157 (10.9%)</t>
  </si>
  <si>
    <t>33463 (11.4%)</t>
  </si>
  <si>
    <t>32352 (11.0%)</t>
  </si>
  <si>
    <t>32092 (10.9%)</t>
  </si>
  <si>
    <t>31892 (10.8%)</t>
  </si>
  <si>
    <t>31924 (10.8%)</t>
  </si>
  <si>
    <t>806 (9.0%)</t>
  </si>
  <si>
    <t>832 (9.2%)</t>
  </si>
  <si>
    <t>870 (9.7%)</t>
  </si>
  <si>
    <t>934 (10.4%)</t>
  </si>
  <si>
    <t>971 (10.8%)</t>
  </si>
  <si>
    <t>1160 (12.9%)</t>
  </si>
  <si>
    <t>1051 (11.7%)</t>
  </si>
  <si>
    <t>1173 (13.0%)</t>
  </si>
  <si>
    <t>1205 (13.4%)</t>
  </si>
  <si>
    <t>32657 (11.4%)</t>
  </si>
  <si>
    <t>31520 (11.0%)</t>
  </si>
  <si>
    <t>32172 (11.3%)</t>
  </si>
  <si>
    <t>33329 (11.7%)</t>
  </si>
  <si>
    <t>32393 (11.3%)</t>
  </si>
  <si>
    <t>30997 (10.9%)</t>
  </si>
  <si>
    <t>31041 (10.9%)</t>
  </si>
  <si>
    <t>30719 (10.8%)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</si>
</sst>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72" fontId="0" fillId="0" borderId="0" xfId="0" applyNumberFormat="1" applyFont="1" applyAlignment="1">
      <alignment horizontal="left"/>
    </xf>
    <xf numFmtId="172" fontId="0" fillId="0" borderId="0" xfId="0" applyNumberFormat="1" applyFont="1" applyAlignment="1">
      <alignment horizontal="center" vertical="center"/>
    </xf>
    <xf numFmtId="172" fontId="0" fillId="0" borderId="0" xfId="0" applyNumberFormat="1" applyFont="1" applyAlignment="1">
      <alignment horizontal="center"/>
    </xf>
    <xf numFmtId="172" fontId="0" fillId="0" borderId="0" xfId="0" applyNumberFormat="1" applyFont="1"/>
    <xf numFmtId="172" fontId="0" fillId="0" borderId="0" xfId="0" applyNumberFormat="1" applyFont="1" applyAlignment="1">
      <alignment horizontal="left" vertical="center"/>
    </xf>
    <xf numFmtId="17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ADA3-0AE2-4F5E-9E15-B09170B9FD4D}">
  <dimension ref="A1:J13"/>
  <sheetViews>
    <sheetView tabSelected="1" workbookViewId="0">
      <selection sqref="A1:D1048576"/>
    </sheetView>
  </sheetViews>
  <sheetFormatPr defaultRowHeight="14.5" x14ac:dyDescent="0.35"/>
  <cols>
    <col min="1" max="1" width="9.90625" style="3" bestFit="1" customWidth="1"/>
    <col min="2" max="2" width="15.08984375" style="3" bestFit="1" customWidth="1"/>
    <col min="3" max="3" width="16.36328125" style="3" bestFit="1" customWidth="1"/>
    <col min="4" max="4" width="18.81640625" style="3" bestFit="1" customWidth="1"/>
    <col min="5" max="6" width="16.36328125" style="3" hidden="1" customWidth="1"/>
    <col min="7" max="8" width="22.90625" style="3" hidden="1" customWidth="1"/>
    <col min="9" max="9" width="18" style="3" hidden="1" customWidth="1"/>
    <col min="10" max="10" width="0" style="3" hidden="1" customWidth="1"/>
    <col min="11" max="16384" width="8.7265625" style="3"/>
  </cols>
  <sheetData>
    <row r="1" spans="1:10" x14ac:dyDescent="0.35">
      <c r="A1" s="5" t="s">
        <v>0</v>
      </c>
      <c r="B1" s="7" t="s">
        <v>1</v>
      </c>
      <c r="C1" s="5" t="s">
        <v>2</v>
      </c>
      <c r="D1" s="5" t="s">
        <v>3</v>
      </c>
      <c r="E1" s="4">
        <f>SUM(E2:E10)</f>
        <v>294549</v>
      </c>
      <c r="F1" s="4" t="s">
        <v>4</v>
      </c>
      <c r="G1" s="3">
        <f>SUM(G2:G10)</f>
        <v>9002</v>
      </c>
      <c r="H1" s="11">
        <f>(G1/E1)*100</f>
        <v>3.0561977803353604</v>
      </c>
      <c r="I1" s="4">
        <f>SUM(I2:I10)</f>
        <v>285547</v>
      </c>
      <c r="J1" s="11">
        <f>I1/E1*100</f>
        <v>96.943802219664647</v>
      </c>
    </row>
    <row r="2" spans="1:10" x14ac:dyDescent="0.35">
      <c r="A2" s="5">
        <v>2015</v>
      </c>
      <c r="B2" s="7" t="s">
        <v>9</v>
      </c>
      <c r="C2" s="5" t="s">
        <v>14</v>
      </c>
      <c r="D2" s="5" t="s">
        <v>23</v>
      </c>
      <c r="E2" s="7">
        <v>33463</v>
      </c>
      <c r="F2" s="8">
        <f>E2/E1*100</f>
        <v>11.360758311859827</v>
      </c>
      <c r="G2" s="5">
        <v>806</v>
      </c>
      <c r="H2" s="12">
        <f>G2/G1*100</f>
        <v>8.9535658742501667</v>
      </c>
      <c r="I2" s="5">
        <v>32657</v>
      </c>
      <c r="J2" s="11">
        <f>I2/I1*100</f>
        <v>11.436646156324528</v>
      </c>
    </row>
    <row r="3" spans="1:10" x14ac:dyDescent="0.35">
      <c r="A3" s="7">
        <v>2016</v>
      </c>
      <c r="B3" s="5" t="s">
        <v>10</v>
      </c>
      <c r="C3" s="5" t="s">
        <v>15</v>
      </c>
      <c r="D3" s="5" t="s">
        <v>24</v>
      </c>
      <c r="E3" s="4">
        <v>32352</v>
      </c>
      <c r="F3" s="9">
        <f>E3/E1*100</f>
        <v>10.983571494046831</v>
      </c>
      <c r="G3" s="4">
        <v>832</v>
      </c>
      <c r="H3" s="12">
        <f>G3/G1*100</f>
        <v>9.2423905798711399</v>
      </c>
      <c r="I3" s="3">
        <v>31520</v>
      </c>
      <c r="J3" s="11">
        <f>I3/I1*100</f>
        <v>11.038463020098268</v>
      </c>
    </row>
    <row r="4" spans="1:10" x14ac:dyDescent="0.35">
      <c r="A4" s="7">
        <v>2017</v>
      </c>
      <c r="B4" s="5" t="s">
        <v>5</v>
      </c>
      <c r="C4" s="5" t="s">
        <v>16</v>
      </c>
      <c r="D4" s="5" t="s">
        <v>25</v>
      </c>
      <c r="E4" s="4">
        <v>33042</v>
      </c>
      <c r="F4" s="9">
        <f>E4/E1*100</f>
        <v>11.217827933552652</v>
      </c>
      <c r="G4" s="4">
        <v>870</v>
      </c>
      <c r="H4" s="12">
        <f>G4/G1*100</f>
        <v>9.6645189957787156</v>
      </c>
      <c r="I4" s="3">
        <v>32172</v>
      </c>
      <c r="J4" s="11">
        <f>I4/I1*100</f>
        <v>11.266796709473397</v>
      </c>
    </row>
    <row r="5" spans="1:10" x14ac:dyDescent="0.35">
      <c r="A5" s="7">
        <v>2018</v>
      </c>
      <c r="B5" s="5" t="s">
        <v>6</v>
      </c>
      <c r="C5" s="5" t="s">
        <v>17</v>
      </c>
      <c r="D5" s="5" t="s">
        <v>26</v>
      </c>
      <c r="E5" s="4">
        <v>34263</v>
      </c>
      <c r="F5" s="9">
        <f>E5/E1*100</f>
        <v>11.632359980852081</v>
      </c>
      <c r="G5" s="4">
        <v>934</v>
      </c>
      <c r="H5" s="9">
        <f>G5/G1*100</f>
        <v>10.375472117307265</v>
      </c>
      <c r="I5" s="3">
        <v>33329</v>
      </c>
      <c r="J5" s="11">
        <f>I5/I1*100</f>
        <v>11.671983946600735</v>
      </c>
    </row>
    <row r="6" spans="1:10" x14ac:dyDescent="0.35">
      <c r="A6" s="7">
        <v>2019</v>
      </c>
      <c r="B6" s="7" t="s">
        <v>7</v>
      </c>
      <c r="C6" s="7" t="s">
        <v>18</v>
      </c>
      <c r="D6" s="7" t="s">
        <v>27</v>
      </c>
      <c r="E6" s="6">
        <v>33364</v>
      </c>
      <c r="F6" s="10">
        <f>E6/E1*100</f>
        <v>11.327147605322034</v>
      </c>
      <c r="G6" s="6">
        <v>971</v>
      </c>
      <c r="H6" s="10">
        <f>G6/G1*100</f>
        <v>10.786491890690957</v>
      </c>
      <c r="I6" s="3">
        <v>32393</v>
      </c>
      <c r="J6" s="11">
        <f>I6/I1*100</f>
        <v>11.344192024430304</v>
      </c>
    </row>
    <row r="7" spans="1:10" x14ac:dyDescent="0.35">
      <c r="A7" s="7">
        <v>2020</v>
      </c>
      <c r="B7" s="5" t="s">
        <v>8</v>
      </c>
      <c r="C7" s="5" t="s">
        <v>19</v>
      </c>
      <c r="D7" s="5" t="s">
        <v>28</v>
      </c>
      <c r="E7" s="4">
        <v>32157</v>
      </c>
      <c r="F7" s="9">
        <f>E7/E1*100</f>
        <v>10.917368587229968</v>
      </c>
      <c r="G7" s="4">
        <v>1160</v>
      </c>
      <c r="H7" s="9">
        <f>G7/G1*100</f>
        <v>12.886025327704957</v>
      </c>
      <c r="I7" s="1">
        <v>30997</v>
      </c>
      <c r="J7" s="11">
        <f>I7/I1*100</f>
        <v>10.855305781535089</v>
      </c>
    </row>
    <row r="8" spans="1:10" x14ac:dyDescent="0.35">
      <c r="A8" s="7">
        <v>2021</v>
      </c>
      <c r="B8" s="5" t="s">
        <v>11</v>
      </c>
      <c r="C8" s="5" t="s">
        <v>20</v>
      </c>
      <c r="D8" s="5" t="s">
        <v>29</v>
      </c>
      <c r="E8" s="4">
        <v>32092</v>
      </c>
      <c r="F8" s="9">
        <f>E8/E1*100</f>
        <v>10.895300951624348</v>
      </c>
      <c r="G8" s="2">
        <v>1051</v>
      </c>
      <c r="H8" s="13">
        <f>G8/G1*100</f>
        <v>11.675183292601645</v>
      </c>
      <c r="I8" s="2">
        <v>31041</v>
      </c>
      <c r="J8" s="11">
        <f>I8/I1*100</f>
        <v>10.870714803517458</v>
      </c>
    </row>
    <row r="9" spans="1:10" x14ac:dyDescent="0.35">
      <c r="A9" s="7">
        <v>2022</v>
      </c>
      <c r="B9" s="5" t="s">
        <v>12</v>
      </c>
      <c r="C9" s="5" t="s">
        <v>21</v>
      </c>
      <c r="D9" s="5" t="s">
        <v>30</v>
      </c>
      <c r="E9" s="4">
        <v>31892</v>
      </c>
      <c r="F9" s="9">
        <f>E9/E1*100</f>
        <v>10.827400534376284</v>
      </c>
      <c r="G9" s="2">
        <v>1173</v>
      </c>
      <c r="H9" s="13">
        <f>G9/G1*100</f>
        <v>13.030437680515442</v>
      </c>
      <c r="I9" s="2">
        <v>30719</v>
      </c>
      <c r="J9" s="11">
        <f>I9/I1*100</f>
        <v>10.75794877901011</v>
      </c>
    </row>
    <row r="10" spans="1:10" x14ac:dyDescent="0.35">
      <c r="A10" s="7">
        <v>2023</v>
      </c>
      <c r="B10" s="5" t="s">
        <v>13</v>
      </c>
      <c r="C10" s="5" t="s">
        <v>22</v>
      </c>
      <c r="D10" s="5" t="s">
        <v>30</v>
      </c>
      <c r="E10" s="4">
        <v>31924</v>
      </c>
      <c r="F10" s="9">
        <f>E10/E1*100</f>
        <v>10.838264601135975</v>
      </c>
      <c r="G10" s="2">
        <v>1205</v>
      </c>
      <c r="H10" s="13">
        <f>G10/G1*100</f>
        <v>13.385914241279714</v>
      </c>
      <c r="I10" s="2">
        <v>30719</v>
      </c>
      <c r="J10" s="11">
        <f>I10/I1*100</f>
        <v>10.75794877901011</v>
      </c>
    </row>
    <row r="11" spans="1:10" x14ac:dyDescent="0.35">
      <c r="G11" s="2"/>
      <c r="H11" s="2"/>
      <c r="I11" s="2"/>
    </row>
    <row r="12" spans="1:10" x14ac:dyDescent="0.35">
      <c r="G12" s="2"/>
      <c r="H12" s="2"/>
      <c r="I12" s="2"/>
    </row>
    <row r="13" spans="1:10" x14ac:dyDescent="0.35">
      <c r="G13" s="2"/>
      <c r="H13" s="2"/>
      <c r="I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5DBC-0922-406D-A42A-1CB1302C82F7}">
  <dimension ref="A1"/>
  <sheetViews>
    <sheetView workbookViewId="0">
      <selection activeCell="B1" sqref="B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Omar Silverman Retana</dc:creator>
  <cp:lastModifiedBy>Jose Omar Silverman Retana</cp:lastModifiedBy>
  <dcterms:created xsi:type="dcterms:W3CDTF">2026-06-15T09:19:09Z</dcterms:created>
  <dcterms:modified xsi:type="dcterms:W3CDTF">2026-06-15T12:03:33Z</dcterms:modified>
</cp:coreProperties>
</file>